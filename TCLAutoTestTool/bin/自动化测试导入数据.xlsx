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" l="1"/>
  <c r="E14" i="1" l="1"/>
  <c r="E13" i="1" l="1"/>
  <c r="E12" i="1" l="1"/>
  <c r="E11" i="1" l="1"/>
  <c r="E8" i="1" l="1"/>
  <c r="E10" i="1"/>
  <c r="E9" i="1" l="1"/>
  <c r="E2" i="1" l="1"/>
  <c r="E5" i="1"/>
  <c r="E6" i="1"/>
  <c r="E7" i="1"/>
  <c r="E4" i="1"/>
  <c r="H8" i="1" l="1"/>
</calcChain>
</file>

<file path=xl/sharedStrings.xml><?xml version="1.0" encoding="utf-8"?>
<sst xmlns="http://schemas.openxmlformats.org/spreadsheetml/2006/main" count="47" uniqueCount="37">
  <si>
    <t>序号</t>
    <phoneticPr fontId="1" type="noConversion"/>
  </si>
  <si>
    <t>机型名</t>
    <phoneticPr fontId="1" type="noConversion"/>
  </si>
  <si>
    <t>水平分区数</t>
    <phoneticPr fontId="1" type="noConversion"/>
  </si>
  <si>
    <t>垂直分区数</t>
    <phoneticPr fontId="1" type="noConversion"/>
  </si>
  <si>
    <t>Boost窗口</t>
    <phoneticPr fontId="1" type="noConversion"/>
  </si>
  <si>
    <t>数据格式</t>
    <phoneticPr fontId="1" type="noConversion"/>
  </si>
  <si>
    <t>驱动支持的最大电流
(mA)</t>
    <phoneticPr fontId="1" type="noConversion"/>
  </si>
  <si>
    <t>驱动IC 0对应的电流值
(mA)</t>
    <phoneticPr fontId="1" type="noConversion"/>
  </si>
  <si>
    <t>驱动IC步幅
(mA)</t>
    <phoneticPr fontId="1" type="noConversion"/>
  </si>
  <si>
    <t>全白电流
(mA)</t>
    <phoneticPr fontId="1" type="noConversion"/>
  </si>
  <si>
    <t>拐点电流
(mA)</t>
    <phoneticPr fontId="1" type="noConversion"/>
  </si>
  <si>
    <t>L32电流
(mA)</t>
    <phoneticPr fontId="1" type="noConversion"/>
  </si>
  <si>
    <t>Boost电流
(mA)</t>
    <phoneticPr fontId="1" type="noConversion"/>
  </si>
  <si>
    <t>55QM7K</t>
    <phoneticPr fontId="1" type="noConversion"/>
  </si>
  <si>
    <t>6+10</t>
    <phoneticPr fontId="1" type="noConversion"/>
  </si>
  <si>
    <t>65T6M</t>
    <phoneticPr fontId="1" type="noConversion"/>
  </si>
  <si>
    <t>65T5MPlus</t>
    <phoneticPr fontId="1" type="noConversion"/>
  </si>
  <si>
    <t>8+12</t>
    <phoneticPr fontId="1" type="noConversion"/>
  </si>
  <si>
    <t>全白亮度
（nites)</t>
    <phoneticPr fontId="1" type="noConversion"/>
  </si>
  <si>
    <t>L32亮度
（nites)</t>
    <phoneticPr fontId="1" type="noConversion"/>
  </si>
  <si>
    <t>Boost亮度
（nites)</t>
    <phoneticPr fontId="1" type="noConversion"/>
  </si>
  <si>
    <t>75QM7K</t>
    <phoneticPr fontId="1" type="noConversion"/>
  </si>
  <si>
    <t>55Q9M_Uitra</t>
    <phoneticPr fontId="1" type="noConversion"/>
  </si>
  <si>
    <t>75X11G</t>
    <phoneticPr fontId="1" type="noConversion"/>
  </si>
  <si>
    <t>55C655Pro</t>
    <phoneticPr fontId="1" type="noConversion"/>
  </si>
  <si>
    <t>8+12</t>
    <phoneticPr fontId="1" type="noConversion"/>
  </si>
  <si>
    <t>L44</t>
    <phoneticPr fontId="1" type="noConversion"/>
  </si>
  <si>
    <t>65C8L</t>
    <phoneticPr fontId="1" type="noConversion"/>
  </si>
  <si>
    <t>6+10</t>
    <phoneticPr fontId="1" type="noConversion"/>
  </si>
  <si>
    <t>65QM7LPro</t>
    <phoneticPr fontId="1" type="noConversion"/>
  </si>
  <si>
    <t>头码个数
(Byte)</t>
    <phoneticPr fontId="1" type="noConversion"/>
  </si>
  <si>
    <t>尾码个数
(Byte)</t>
    <phoneticPr fontId="1" type="noConversion"/>
  </si>
  <si>
    <t>65C12L</t>
    <phoneticPr fontId="1" type="noConversion"/>
  </si>
  <si>
    <t>65P8L</t>
    <phoneticPr fontId="1" type="noConversion"/>
  </si>
  <si>
    <t>85T5MPlus</t>
    <phoneticPr fontId="1" type="noConversion"/>
  </si>
  <si>
    <t>75X11G</t>
    <phoneticPr fontId="1" type="noConversion"/>
  </si>
  <si>
    <t>85C12L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</si>
</sst>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tabSelected="1" zoomScale="85" zoomScaleNormal="85" workbookViewId="0">
      <selection activeCell="L22" sqref="L22"/>
    </sheetView>
  </sheetViews>
  <sheetFormatPr defaultRowHeight="14.25" x14ac:dyDescent="0.2"/>
  <cols>
    <col min="1" max="1" width="9" style="3"/>
    <col min="2" max="2" width="14.125" bestFit="1" customWidth="1"/>
    <col min="3" max="4" width="15.875" bestFit="1" customWidth="1"/>
    <col min="5" max="5" width="14.75" bestFit="1" customWidth="1"/>
    <col min="6" max="6" width="27.75" bestFit="1" customWidth="1"/>
    <col min="7" max="7" width="30" bestFit="1" customWidth="1"/>
    <col min="8" max="8" width="15.5" bestFit="1" customWidth="1"/>
    <col min="9" max="9" width="12.875" bestFit="1" customWidth="1"/>
    <col min="10" max="11" width="12.875" customWidth="1"/>
    <col min="12" max="13" width="12.875" bestFit="1" customWidth="1"/>
    <col min="14" max="14" width="11.625" bestFit="1" customWidth="1"/>
    <col min="15" max="15" width="14.75" bestFit="1" customWidth="1"/>
    <col min="16" max="16" width="14.25" style="8" customWidth="1"/>
    <col min="17" max="17" width="14.375" style="8" customWidth="1"/>
    <col min="18" max="18" width="15.375" style="8" customWidth="1"/>
  </cols>
  <sheetData>
    <row r="1" spans="1:18" ht="40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6</v>
      </c>
      <c r="G1" s="4" t="s">
        <v>7</v>
      </c>
      <c r="H1" s="4" t="s">
        <v>8</v>
      </c>
      <c r="I1" s="1" t="s">
        <v>5</v>
      </c>
      <c r="J1" s="4" t="s">
        <v>30</v>
      </c>
      <c r="K1" s="4" t="s">
        <v>31</v>
      </c>
      <c r="L1" s="4" t="s">
        <v>9</v>
      </c>
      <c r="M1" s="4" t="s">
        <v>10</v>
      </c>
      <c r="N1" s="4" t="s">
        <v>11</v>
      </c>
      <c r="O1" s="4" t="s">
        <v>12</v>
      </c>
      <c r="P1" s="6" t="s">
        <v>18</v>
      </c>
      <c r="Q1" s="6" t="s">
        <v>19</v>
      </c>
      <c r="R1" s="6" t="s">
        <v>20</v>
      </c>
    </row>
    <row r="2" spans="1:18" ht="15.75" x14ac:dyDescent="0.2">
      <c r="A2" s="2">
        <v>1</v>
      </c>
      <c r="B2" s="5" t="s">
        <v>16</v>
      </c>
      <c r="C2" s="5">
        <v>18</v>
      </c>
      <c r="D2" s="5">
        <v>4</v>
      </c>
      <c r="E2" s="5" t="str">
        <f t="shared" ref="E2" si="0">"L"&amp;((IF(INT(SQRT(L2/O2)*100)&gt;50,50,INT(SQRT(L2/O2)*100)))-2)</f>
        <v>L48</v>
      </c>
      <c r="F2" s="5">
        <v>80</v>
      </c>
      <c r="G2" s="5">
        <v>1.25</v>
      </c>
      <c r="H2" s="5">
        <v>1.25</v>
      </c>
      <c r="I2" s="5" t="s">
        <v>17</v>
      </c>
      <c r="J2" s="5">
        <v>4</v>
      </c>
      <c r="K2" s="5">
        <v>6</v>
      </c>
      <c r="L2" s="5">
        <v>37.5</v>
      </c>
      <c r="M2" s="5">
        <v>37.65</v>
      </c>
      <c r="N2" s="5">
        <v>40</v>
      </c>
      <c r="O2" s="5">
        <v>50</v>
      </c>
      <c r="P2" s="9">
        <v>500</v>
      </c>
      <c r="Q2" s="9">
        <v>550</v>
      </c>
      <c r="R2" s="9">
        <v>600</v>
      </c>
    </row>
    <row r="3" spans="1:18" ht="15.75" x14ac:dyDescent="0.2">
      <c r="A3" s="2">
        <v>3</v>
      </c>
      <c r="B3" s="5" t="s">
        <v>15</v>
      </c>
      <c r="C3" s="5">
        <v>18</v>
      </c>
      <c r="D3" s="5">
        <v>10</v>
      </c>
      <c r="E3" s="5" t="s">
        <v>26</v>
      </c>
      <c r="F3" s="5">
        <v>80</v>
      </c>
      <c r="G3" s="5">
        <v>1.25</v>
      </c>
      <c r="H3" s="5">
        <v>1.25</v>
      </c>
      <c r="I3" s="5" t="s">
        <v>17</v>
      </c>
      <c r="J3" s="5">
        <v>4</v>
      </c>
      <c r="K3" s="5">
        <v>6</v>
      </c>
      <c r="L3" s="5">
        <v>23</v>
      </c>
      <c r="M3" s="5">
        <v>23.22</v>
      </c>
      <c r="N3" s="5">
        <v>40</v>
      </c>
      <c r="O3" s="5">
        <v>60</v>
      </c>
      <c r="P3" s="9">
        <v>500</v>
      </c>
      <c r="Q3" s="9">
        <v>600</v>
      </c>
      <c r="R3" s="9">
        <v>800</v>
      </c>
    </row>
    <row r="4" spans="1:18" ht="15.75" x14ac:dyDescent="0.2">
      <c r="A4" s="2">
        <v>4</v>
      </c>
      <c r="B4" s="5" t="s">
        <v>13</v>
      </c>
      <c r="C4" s="5">
        <v>36</v>
      </c>
      <c r="D4" s="5">
        <v>20</v>
      </c>
      <c r="E4" s="5" t="str">
        <f>"L"&amp;((IF(INT(SQRT(L4/O4)*100)&gt;50,50,INT(SQRT(L4/O4)*100)))-2)</f>
        <v>L36</v>
      </c>
      <c r="F4" s="5">
        <v>90</v>
      </c>
      <c r="G4" s="5">
        <v>0</v>
      </c>
      <c r="H4" s="5">
        <v>1.43</v>
      </c>
      <c r="I4" s="5" t="s">
        <v>14</v>
      </c>
      <c r="J4" s="5">
        <v>6</v>
      </c>
      <c r="K4" s="5">
        <v>6</v>
      </c>
      <c r="L4" s="5">
        <v>9.5</v>
      </c>
      <c r="M4" s="5">
        <v>10</v>
      </c>
      <c r="N4" s="5">
        <v>45</v>
      </c>
      <c r="O4" s="5">
        <v>65</v>
      </c>
      <c r="P4" s="9">
        <v>550</v>
      </c>
      <c r="Q4" s="9">
        <v>2000</v>
      </c>
      <c r="R4" s="9">
        <v>2800</v>
      </c>
    </row>
    <row r="5" spans="1:18" ht="15.75" x14ac:dyDescent="0.2">
      <c r="A5" s="2">
        <v>5</v>
      </c>
      <c r="B5" s="5" t="s">
        <v>21</v>
      </c>
      <c r="C5" s="5">
        <v>48</v>
      </c>
      <c r="D5" s="5">
        <v>26</v>
      </c>
      <c r="E5" s="5" t="str">
        <f t="shared" ref="E5:E14" si="1">"L"&amp;((IF(INT(SQRT(L5/O5)*100)&gt;50,50,INT(SQRT(L5/O5)*100)))-2)</f>
        <v>L35</v>
      </c>
      <c r="F5" s="5">
        <v>90</v>
      </c>
      <c r="G5" s="5">
        <v>0</v>
      </c>
      <c r="H5" s="5">
        <v>1.43</v>
      </c>
      <c r="I5" s="5" t="s">
        <v>14</v>
      </c>
      <c r="J5" s="5">
        <v>6</v>
      </c>
      <c r="K5" s="5">
        <v>6</v>
      </c>
      <c r="L5" s="5">
        <v>9</v>
      </c>
      <c r="M5" s="5">
        <v>10</v>
      </c>
      <c r="N5" s="5">
        <v>45</v>
      </c>
      <c r="O5" s="5">
        <v>65</v>
      </c>
      <c r="P5" s="9">
        <v>500</v>
      </c>
      <c r="Q5" s="9">
        <v>2000</v>
      </c>
      <c r="R5" s="9">
        <v>2800</v>
      </c>
    </row>
    <row r="6" spans="1:18" ht="15.75" x14ac:dyDescent="0.2">
      <c r="A6" s="2">
        <v>6</v>
      </c>
      <c r="B6" s="5" t="s">
        <v>22</v>
      </c>
      <c r="C6" s="5">
        <v>40</v>
      </c>
      <c r="D6" s="5">
        <v>20</v>
      </c>
      <c r="E6" s="5" t="str">
        <f t="shared" si="1"/>
        <v>L29</v>
      </c>
      <c r="F6" s="5">
        <v>80</v>
      </c>
      <c r="G6" s="5">
        <v>1.25</v>
      </c>
      <c r="H6" s="5">
        <v>1.25</v>
      </c>
      <c r="I6" s="5" t="s">
        <v>14</v>
      </c>
      <c r="J6" s="5">
        <v>6</v>
      </c>
      <c r="K6" s="5">
        <v>6</v>
      </c>
      <c r="L6" s="5">
        <v>7.8</v>
      </c>
      <c r="M6" s="5">
        <v>8.75</v>
      </c>
      <c r="N6" s="5">
        <v>40</v>
      </c>
      <c r="O6" s="5">
        <v>80</v>
      </c>
      <c r="P6" s="9">
        <v>500</v>
      </c>
      <c r="Q6" s="9">
        <v>1800</v>
      </c>
      <c r="R6" s="9">
        <v>2500</v>
      </c>
    </row>
    <row r="7" spans="1:18" ht="15.75" x14ac:dyDescent="0.2">
      <c r="A7" s="2">
        <v>7</v>
      </c>
      <c r="B7" s="5" t="s">
        <v>23</v>
      </c>
      <c r="C7" s="5">
        <v>72</v>
      </c>
      <c r="D7" s="5">
        <v>42</v>
      </c>
      <c r="E7" s="5" t="str">
        <f t="shared" si="1"/>
        <v>L38</v>
      </c>
      <c r="F7" s="5">
        <v>31.5</v>
      </c>
      <c r="G7" s="5">
        <v>0</v>
      </c>
      <c r="H7" s="5">
        <v>0.5</v>
      </c>
      <c r="I7" s="5" t="s">
        <v>14</v>
      </c>
      <c r="J7" s="5">
        <v>6</v>
      </c>
      <c r="K7" s="5">
        <v>6</v>
      </c>
      <c r="L7" s="5">
        <v>5.2</v>
      </c>
      <c r="M7" s="5">
        <v>10</v>
      </c>
      <c r="N7" s="5">
        <v>14</v>
      </c>
      <c r="O7" s="5">
        <v>31.5</v>
      </c>
      <c r="P7" s="10">
        <v>500</v>
      </c>
      <c r="Q7" s="10">
        <v>2000</v>
      </c>
      <c r="R7" s="10">
        <v>3000</v>
      </c>
    </row>
    <row r="8" spans="1:18" ht="15.75" x14ac:dyDescent="0.2">
      <c r="A8" s="2">
        <v>8</v>
      </c>
      <c r="B8" s="5" t="s">
        <v>24</v>
      </c>
      <c r="C8" s="5">
        <v>12</v>
      </c>
      <c r="D8" s="5">
        <v>7</v>
      </c>
      <c r="E8" s="5" t="str">
        <f t="shared" si="1"/>
        <v>L48</v>
      </c>
      <c r="F8" s="5">
        <v>60</v>
      </c>
      <c r="G8" s="5">
        <v>0</v>
      </c>
      <c r="H8" s="7">
        <f>60/255</f>
        <v>0.23529411764705882</v>
      </c>
      <c r="I8" s="5" t="s">
        <v>25</v>
      </c>
      <c r="J8" s="5">
        <v>4</v>
      </c>
      <c r="K8" s="5">
        <v>6</v>
      </c>
      <c r="L8" s="5">
        <v>27</v>
      </c>
      <c r="M8" s="5">
        <v>27</v>
      </c>
      <c r="N8" s="5">
        <v>50</v>
      </c>
      <c r="O8" s="5">
        <v>60</v>
      </c>
      <c r="P8" s="10">
        <v>500</v>
      </c>
      <c r="Q8" s="10">
        <v>600</v>
      </c>
      <c r="R8" s="10">
        <v>700</v>
      </c>
    </row>
    <row r="9" spans="1:18" ht="15.75" x14ac:dyDescent="0.2">
      <c r="A9" s="2">
        <v>9</v>
      </c>
      <c r="B9" s="5" t="s">
        <v>27</v>
      </c>
      <c r="C9" s="5">
        <v>60</v>
      </c>
      <c r="D9" s="5">
        <v>34</v>
      </c>
      <c r="E9" s="5" t="str">
        <f t="shared" si="1"/>
        <v>L24</v>
      </c>
      <c r="F9" s="5">
        <v>80</v>
      </c>
      <c r="G9" s="5">
        <v>1.25</v>
      </c>
      <c r="H9" s="5">
        <v>1.25</v>
      </c>
      <c r="I9" s="5" t="s">
        <v>28</v>
      </c>
      <c r="J9" s="5">
        <v>6</v>
      </c>
      <c r="K9" s="5">
        <v>6</v>
      </c>
      <c r="L9" s="5">
        <v>4.5</v>
      </c>
      <c r="M9" s="5">
        <v>6.25</v>
      </c>
      <c r="N9" s="5">
        <v>35</v>
      </c>
      <c r="O9" s="5">
        <v>65</v>
      </c>
      <c r="P9" s="10">
        <v>500</v>
      </c>
      <c r="Q9" s="10">
        <v>600</v>
      </c>
      <c r="R9" s="10">
        <v>700</v>
      </c>
    </row>
    <row r="10" spans="1:18" ht="15.75" x14ac:dyDescent="0.2">
      <c r="A10" s="2">
        <v>10</v>
      </c>
      <c r="B10" s="11" t="s">
        <v>29</v>
      </c>
      <c r="C10" s="11">
        <v>48</v>
      </c>
      <c r="D10" s="11">
        <v>24</v>
      </c>
      <c r="E10" s="5" t="str">
        <f t="shared" si="1"/>
        <v>L29</v>
      </c>
      <c r="F10" s="5">
        <v>80</v>
      </c>
      <c r="G10" s="5">
        <v>1.25</v>
      </c>
      <c r="H10" s="5">
        <v>1.25</v>
      </c>
      <c r="I10" s="5" t="s">
        <v>14</v>
      </c>
      <c r="J10" s="5">
        <v>6</v>
      </c>
      <c r="K10" s="5">
        <v>6</v>
      </c>
      <c r="L10" s="11">
        <v>6.5</v>
      </c>
      <c r="M10" s="11">
        <v>7.5</v>
      </c>
      <c r="N10" s="11">
        <v>40</v>
      </c>
      <c r="O10" s="11">
        <v>65</v>
      </c>
      <c r="P10" s="10">
        <v>500</v>
      </c>
      <c r="Q10" s="10">
        <v>600</v>
      </c>
      <c r="R10" s="10">
        <v>700</v>
      </c>
    </row>
    <row r="11" spans="1:18" ht="15.75" x14ac:dyDescent="0.2">
      <c r="A11" s="2">
        <v>11</v>
      </c>
      <c r="B11" s="11" t="s">
        <v>32</v>
      </c>
      <c r="C11" s="11">
        <v>60</v>
      </c>
      <c r="D11" s="11">
        <v>34</v>
      </c>
      <c r="E11" s="5" t="str">
        <f t="shared" si="1"/>
        <v>L22</v>
      </c>
      <c r="F11" s="5">
        <v>80</v>
      </c>
      <c r="G11" s="5">
        <v>1.25</v>
      </c>
      <c r="H11" s="5">
        <v>1.25</v>
      </c>
      <c r="I11" s="5" t="s">
        <v>14</v>
      </c>
      <c r="J11" s="5">
        <v>14</v>
      </c>
      <c r="K11" s="5">
        <v>0</v>
      </c>
      <c r="L11" s="11">
        <v>4.05</v>
      </c>
      <c r="M11" s="11">
        <v>6.25</v>
      </c>
      <c r="N11" s="11">
        <v>35</v>
      </c>
      <c r="O11" s="11">
        <v>65</v>
      </c>
      <c r="P11" s="10">
        <v>500</v>
      </c>
      <c r="Q11" s="10">
        <v>2000</v>
      </c>
      <c r="R11" s="10">
        <v>3000</v>
      </c>
    </row>
    <row r="12" spans="1:18" ht="15.75" x14ac:dyDescent="0.2">
      <c r="A12" s="3">
        <v>12</v>
      </c>
      <c r="B12" s="12" t="s">
        <v>33</v>
      </c>
      <c r="C12" s="12">
        <v>18</v>
      </c>
      <c r="D12" s="12">
        <v>4</v>
      </c>
      <c r="E12" s="5" t="str">
        <f t="shared" si="1"/>
        <v>L48</v>
      </c>
      <c r="F12" s="5">
        <v>80</v>
      </c>
      <c r="G12" s="5">
        <v>1.25</v>
      </c>
      <c r="H12" s="5">
        <v>1.25</v>
      </c>
      <c r="I12" s="5" t="s">
        <v>17</v>
      </c>
      <c r="J12" s="12">
        <v>4</v>
      </c>
      <c r="K12" s="12">
        <v>6</v>
      </c>
      <c r="L12" s="12">
        <v>37.5</v>
      </c>
      <c r="M12" s="12">
        <v>37.65</v>
      </c>
      <c r="N12" s="12">
        <v>40</v>
      </c>
      <c r="O12" s="12">
        <v>50</v>
      </c>
      <c r="P12" s="10">
        <v>500</v>
      </c>
      <c r="Q12" s="10">
        <v>600</v>
      </c>
      <c r="R12" s="10">
        <v>700</v>
      </c>
    </row>
    <row r="13" spans="1:18" ht="15.75" x14ac:dyDescent="0.2">
      <c r="A13" s="3">
        <v>13</v>
      </c>
      <c r="B13" s="12" t="s">
        <v>34</v>
      </c>
      <c r="C13" s="12">
        <v>28</v>
      </c>
      <c r="D13" s="12">
        <v>4</v>
      </c>
      <c r="E13" s="12" t="str">
        <f t="shared" si="1"/>
        <v>L48</v>
      </c>
      <c r="F13" s="12">
        <v>90</v>
      </c>
      <c r="G13" s="12">
        <v>0</v>
      </c>
      <c r="H13" s="12">
        <v>1.43</v>
      </c>
      <c r="I13" s="5" t="s">
        <v>17</v>
      </c>
      <c r="J13" s="12">
        <v>4</v>
      </c>
      <c r="K13" s="12">
        <v>6</v>
      </c>
      <c r="L13" s="12">
        <v>46</v>
      </c>
      <c r="M13" s="12">
        <v>46.24</v>
      </c>
      <c r="N13" s="12">
        <v>55</v>
      </c>
      <c r="O13" s="12">
        <v>65</v>
      </c>
      <c r="P13" s="10">
        <v>500</v>
      </c>
      <c r="Q13" s="10">
        <v>600</v>
      </c>
      <c r="R13" s="10">
        <v>700</v>
      </c>
    </row>
    <row r="14" spans="1:18" ht="15.75" x14ac:dyDescent="0.2">
      <c r="A14" s="3">
        <v>14</v>
      </c>
      <c r="B14" s="12" t="s">
        <v>35</v>
      </c>
      <c r="C14" s="12">
        <v>36</v>
      </c>
      <c r="D14" s="12">
        <v>42</v>
      </c>
      <c r="E14" s="12" t="str">
        <f t="shared" si="1"/>
        <v>L38</v>
      </c>
      <c r="F14" s="12">
        <v>31.5</v>
      </c>
      <c r="G14" s="12">
        <v>0</v>
      </c>
      <c r="H14" s="12">
        <v>0.5</v>
      </c>
      <c r="I14" s="5" t="s">
        <v>14</v>
      </c>
      <c r="J14" s="12">
        <v>6</v>
      </c>
      <c r="K14" s="12">
        <v>0</v>
      </c>
      <c r="L14" s="12">
        <v>5.2</v>
      </c>
      <c r="M14" s="12">
        <v>10</v>
      </c>
      <c r="N14" s="12">
        <v>14</v>
      </c>
      <c r="O14" s="12">
        <v>31.5</v>
      </c>
      <c r="P14" s="8">
        <v>500</v>
      </c>
      <c r="Q14" s="8">
        <v>1000</v>
      </c>
      <c r="R14" s="8">
        <v>2000</v>
      </c>
    </row>
    <row r="15" spans="1:18" ht="15.75" x14ac:dyDescent="0.2">
      <c r="A15" s="2">
        <v>15</v>
      </c>
      <c r="B15" s="11" t="s">
        <v>36</v>
      </c>
      <c r="C15" s="11">
        <v>80</v>
      </c>
      <c r="D15" s="11">
        <v>40</v>
      </c>
      <c r="E15" s="5" t="str">
        <f t="shared" ref="E15" si="2">"L"&amp;((IF(INT(SQRT(L15/O15)*100)&gt;50,50,INT(SQRT(L15/O15)*100)))-2)</f>
        <v>L26</v>
      </c>
      <c r="F15" s="5">
        <v>80</v>
      </c>
      <c r="G15" s="5">
        <v>1.25</v>
      </c>
      <c r="H15" s="5">
        <v>1.25</v>
      </c>
      <c r="I15" s="5" t="s">
        <v>14</v>
      </c>
      <c r="J15" s="5">
        <v>6</v>
      </c>
      <c r="K15" s="5">
        <v>6</v>
      </c>
      <c r="L15" s="11">
        <v>5.2</v>
      </c>
      <c r="M15" s="11">
        <v>6.25</v>
      </c>
      <c r="N15" s="11">
        <v>35</v>
      </c>
      <c r="O15" s="11">
        <v>65</v>
      </c>
      <c r="P15" s="10">
        <v>500</v>
      </c>
      <c r="Q15" s="10">
        <v>2000</v>
      </c>
      <c r="R15" s="10">
        <v>3000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2026-05-29T07:47:04Z</dcterms:modified>
</cp:coreProperties>
</file>